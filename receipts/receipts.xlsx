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カテゴリ集計" sheetId="2" state="visible" r:id="rId2"/>
  </sheets>
  <definedNames>
    <definedName name="_xlnm._FilterDatabase" localSheetId="0" hidden="1">'明細'!$A$1:$G$21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¥&quot;#,##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5" fontId="2" fillId="3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14" customWidth="1" min="4" max="4"/>
    <col width="14" customWidth="1" min="5" max="5"/>
    <col width="38" customWidth="1" min="6" max="6"/>
    <col width="18" customWidth="1" min="7" max="7"/>
  </cols>
  <sheetData>
    <row r="1">
      <c r="A1" s="1" t="inlineStr">
        <is>
          <t>No.</t>
        </is>
      </c>
      <c r="B1" s="1" t="inlineStr">
        <is>
          <t>日付</t>
        </is>
      </c>
      <c r="C1" s="1" t="inlineStr">
        <is>
          <t>店名</t>
        </is>
      </c>
      <c r="D1" s="1" t="inlineStr">
        <is>
          <t>金額</t>
        </is>
      </c>
      <c r="E1" s="1" t="inlineStr">
        <is>
          <t>カテゴリ</t>
        </is>
      </c>
      <c r="F1" s="1" t="inlineStr">
        <is>
          <t>備考</t>
        </is>
      </c>
      <c r="G1" s="1" t="inlineStr">
        <is>
          <t>元ファイル</t>
        </is>
      </c>
    </row>
    <row r="2">
      <c r="A2" s="2" t="n">
        <v>1</v>
      </c>
      <c r="B2" s="3" t="n">
        <v>45994</v>
      </c>
      <c r="C2" s="4" t="inlineStr">
        <is>
          <t>東京タクシー株式会社</t>
        </is>
      </c>
      <c r="D2" s="5" t="n">
        <v>3240</v>
      </c>
      <c r="E2" s="2" t="inlineStr">
        <is>
          <t>旅費交通費</t>
        </is>
      </c>
      <c r="F2" s="4" t="inlineStr">
        <is>
          <t>タクシー代として</t>
        </is>
      </c>
      <c r="G2" s="4" t="inlineStr">
        <is>
          <t>receipt_01.jpg</t>
        </is>
      </c>
    </row>
    <row r="3">
      <c r="A3" s="2" t="n">
        <v>2</v>
      </c>
      <c r="B3" s="3" t="n">
        <v>45850</v>
      </c>
      <c r="C3" s="4" t="inlineStr">
        <is>
          <t>ホテルニューオータニ京都駅前</t>
        </is>
      </c>
      <c r="D3" s="5" t="n">
        <v>18900</v>
      </c>
      <c r="E3" s="2" t="inlineStr">
        <is>
          <t>旅費交通費</t>
        </is>
      </c>
      <c r="F3" s="4" t="inlineStr">
        <is>
          <t>宿泊費として</t>
        </is>
      </c>
      <c r="G3" s="4" t="inlineStr">
        <is>
          <t>receipt_02.jpg</t>
        </is>
      </c>
    </row>
    <row r="4">
      <c r="A4" s="2" t="n">
        <v>3</v>
      </c>
      <c r="B4" s="3" t="n">
        <v>46056</v>
      </c>
      <c r="C4" s="4" t="inlineStr">
        <is>
          <t>タイムズパーキング三宮第2</t>
        </is>
      </c>
      <c r="D4" s="5" t="n">
        <v>2750</v>
      </c>
      <c r="E4" s="2" t="inlineStr">
        <is>
          <t>旅費交通費</t>
        </is>
      </c>
      <c r="F4" s="4" t="inlineStr">
        <is>
          <t>駐車場代として</t>
        </is>
      </c>
      <c r="G4" s="4" t="inlineStr">
        <is>
          <t>receipt_03.jpg</t>
        </is>
      </c>
    </row>
    <row r="5">
      <c r="A5" s="2" t="n">
        <v>4</v>
      </c>
      <c r="B5" s="3" t="n">
        <v>45969</v>
      </c>
      <c r="C5" s="4" t="inlineStr">
        <is>
          <t>一般社団法人日本経営協会</t>
        </is>
      </c>
      <c r="D5" s="5" t="n">
        <v>9800</v>
      </c>
      <c r="E5" s="2" t="inlineStr">
        <is>
          <t>研修費</t>
        </is>
      </c>
      <c r="F5" s="4" t="inlineStr">
        <is>
          <t>セミナー参加費として</t>
        </is>
      </c>
      <c r="G5" s="4" t="inlineStr">
        <is>
          <t>receipt_04.jpg</t>
        </is>
      </c>
    </row>
    <row r="6">
      <c r="A6" s="2" t="n">
        <v>5</v>
      </c>
      <c r="B6" s="3" t="n">
        <v>45931</v>
      </c>
      <c r="C6" s="4" t="inlineStr">
        <is>
          <t>キンコーズ上野店</t>
        </is>
      </c>
      <c r="D6" s="5" t="n">
        <v>680</v>
      </c>
      <c r="E6" s="2" t="inlineStr">
        <is>
          <t>事務用品費</t>
        </is>
      </c>
      <c r="F6" s="4" t="inlineStr">
        <is>
          <t>コピー代として</t>
        </is>
      </c>
      <c r="G6" s="4" t="inlineStr">
        <is>
          <t>receipt_05.jpg</t>
        </is>
      </c>
    </row>
    <row r="7">
      <c r="A7" s="2" t="n">
        <v>6</v>
      </c>
      <c r="B7" s="3" t="n">
        <v>46096</v>
      </c>
      <c r="C7" s="4" t="inlineStr">
        <is>
          <t>コメリ株式会社 長野営業所</t>
        </is>
      </c>
      <c r="D7" s="5" t="n">
        <v>15400</v>
      </c>
      <c r="E7" s="2" t="inlineStr">
        <is>
          <t>消耗品費</t>
        </is>
      </c>
      <c r="F7" s="4" t="inlineStr">
        <is>
          <t>農業資材代として</t>
        </is>
      </c>
      <c r="G7" s="4" t="inlineStr">
        <is>
          <t>receipt_06.jpg</t>
        </is>
      </c>
    </row>
    <row r="8">
      <c r="A8" s="2" t="n">
        <v>7</v>
      </c>
      <c r="B8" s="3" t="n">
        <v>45838</v>
      </c>
      <c r="C8" s="4" t="inlineStr">
        <is>
          <t>ほっかほっか亭 赤坂店</t>
        </is>
      </c>
      <c r="D8" s="5" t="n">
        <v>3980</v>
      </c>
      <c r="E8" s="2" t="inlineStr">
        <is>
          <t>会議費</t>
        </is>
      </c>
      <c r="F8" s="4" t="inlineStr">
        <is>
          <t>お弁当代として</t>
        </is>
      </c>
      <c r="G8" s="4" t="inlineStr">
        <is>
          <t>receipt_07.jpg</t>
        </is>
      </c>
    </row>
    <row r="9">
      <c r="A9" s="2" t="n">
        <v>8</v>
      </c>
      <c r="B9" s="3" t="n">
        <v>46113</v>
      </c>
      <c r="C9" s="4" t="inlineStr">
        <is>
          <t>株式会社インテリアプラス</t>
        </is>
      </c>
      <c r="D9" s="5" t="n">
        <v>156000</v>
      </c>
      <c r="E9" s="2" t="inlineStr">
        <is>
          <t>修繕費</t>
        </is>
      </c>
      <c r="F9" s="4" t="inlineStr">
        <is>
          <t>室内装飾費用として</t>
        </is>
      </c>
      <c r="G9" s="4" t="inlineStr">
        <is>
          <t>receipt_08.jpg</t>
        </is>
      </c>
    </row>
    <row r="10">
      <c r="A10" s="2" t="n">
        <v>9</v>
      </c>
      <c r="B10" s="3" t="n">
        <v>46001</v>
      </c>
      <c r="C10" s="4" t="inlineStr">
        <is>
          <t>ヤマト運輸株式会社</t>
        </is>
      </c>
      <c r="D10" s="5" t="n">
        <v>1200</v>
      </c>
      <c r="E10" s="2" t="inlineStr">
        <is>
          <t>荷造運賃</t>
        </is>
      </c>
      <c r="F10" s="4" t="inlineStr">
        <is>
          <t>宅配便送料として</t>
        </is>
      </c>
      <c r="G10" s="4" t="inlineStr">
        <is>
          <t>receipt_09.jpg</t>
        </is>
      </c>
    </row>
    <row r="11">
      <c r="A11" s="2" t="n">
        <v>10</v>
      </c>
      <c r="B11" s="3" t="n">
        <v>46073</v>
      </c>
      <c r="C11" s="4" t="inlineStr">
        <is>
          <t>和食ダイニング花月 熱海店</t>
        </is>
      </c>
      <c r="D11" s="5" t="n">
        <v>27500</v>
      </c>
      <c r="E11" s="2" t="inlineStr">
        <is>
          <t>接待交際費</t>
        </is>
      </c>
      <c r="F11" s="4" t="inlineStr">
        <is>
          <t>懇親会費用として</t>
        </is>
      </c>
      <c r="G11" s="4" t="inlineStr">
        <is>
          <t>receipt_10.jpg</t>
        </is>
      </c>
    </row>
    <row r="12">
      <c r="A12" s="2" t="n">
        <v>11</v>
      </c>
      <c r="B12" s="3" t="n">
        <v>45918</v>
      </c>
      <c r="C12" s="4" t="inlineStr">
        <is>
          <t>株式会社パソコンドクター 札幌店</t>
        </is>
      </c>
      <c r="D12" s="5" t="n">
        <v>45000</v>
      </c>
      <c r="E12" s="2" t="inlineStr">
        <is>
          <t>修繕費</t>
        </is>
      </c>
      <c r="F12" s="4" t="inlineStr">
        <is>
          <t>パソコン修理代として</t>
        </is>
      </c>
      <c r="G12" s="4" t="inlineStr">
        <is>
          <t>receipt_11.jpg</t>
        </is>
      </c>
    </row>
    <row r="13">
      <c r="A13" s="2" t="n">
        <v>12</v>
      </c>
      <c r="B13" s="3" t="n">
        <v>45976</v>
      </c>
      <c r="C13" s="4" t="inlineStr">
        <is>
          <t>居酒屋やまと 新橋店</t>
        </is>
      </c>
      <c r="D13" s="5" t="n">
        <v>12800</v>
      </c>
      <c r="E13" s="2" t="inlineStr">
        <is>
          <t>接待交際費</t>
        </is>
      </c>
      <c r="F13" s="4" t="inlineStr">
        <is>
          <t>飲食代として（会議費の可能性あり）</t>
        </is>
      </c>
      <c r="G13" s="4" t="inlineStr">
        <is>
          <t>receipt_12.jpg</t>
        </is>
      </c>
    </row>
    <row r="14">
      <c r="A14" s="2" t="n">
        <v>13</v>
      </c>
      <c r="B14" s="3" t="n">
        <v>46032</v>
      </c>
      <c r="C14" s="4" t="inlineStr">
        <is>
          <t>セブンイレブン 森下駅前店</t>
        </is>
      </c>
      <c r="D14" s="5" t="n">
        <v>850</v>
      </c>
      <c r="E14" s="2" t="inlineStr">
        <is>
          <t>事務用品費</t>
        </is>
      </c>
      <c r="F14" s="4" t="inlineStr">
        <is>
          <t>文房具代として</t>
        </is>
      </c>
      <c r="G14" s="4" t="inlineStr">
        <is>
          <t>receipt_13.jpg</t>
        </is>
      </c>
    </row>
    <row r="15">
      <c r="A15" s="2" t="n">
        <v>14</v>
      </c>
      <c r="B15" s="3" t="n">
        <v>45952</v>
      </c>
      <c r="C15" s="4" t="inlineStr">
        <is>
          <t>株式会社ビジネスパートナーズ</t>
        </is>
      </c>
      <c r="D15" s="5" t="n">
        <v>78000</v>
      </c>
      <c r="E15" s="2" t="inlineStr">
        <is>
          <t>支払手数料</t>
        </is>
      </c>
      <c r="F15" s="4" t="inlineStr">
        <is>
          <t>コンサルティング費用として（業務委託費でも可）</t>
        </is>
      </c>
      <c r="G15" s="4" t="inlineStr">
        <is>
          <t>receipt_14.jpg</t>
        </is>
      </c>
    </row>
    <row r="16">
      <c r="A16" s="2" t="n">
        <v>15</v>
      </c>
      <c r="B16" s="3" t="n">
        <v>46067</v>
      </c>
      <c r="C16" s="4" t="inlineStr">
        <is>
          <t>紀伊國屋書店 博多店</t>
        </is>
      </c>
      <c r="D16" s="5" t="n">
        <v>1580</v>
      </c>
      <c r="E16" s="2" t="inlineStr">
        <is>
          <t>新聞図書費</t>
        </is>
      </c>
      <c r="F16" s="4" t="inlineStr">
        <is>
          <t>書籍代として</t>
        </is>
      </c>
      <c r="G16" s="4" t="inlineStr">
        <is>
          <t>receipt_15.jpg</t>
        </is>
      </c>
    </row>
    <row r="17">
      <c r="A17" s="2" t="n">
        <v>16</v>
      </c>
      <c r="B17" s="3" t="n">
        <v>45905</v>
      </c>
      <c r="C17" s="4" t="inlineStr">
        <is>
          <t>スターバックスコーヒー 渋谷スクランブル交差点店</t>
        </is>
      </c>
      <c r="D17" s="5" t="n">
        <v>430</v>
      </c>
      <c r="E17" s="2" t="inlineStr">
        <is>
          <t>会議費</t>
        </is>
      </c>
      <c r="F17" s="4" t="inlineStr">
        <is>
          <t>コーヒー代として</t>
        </is>
      </c>
      <c r="G17" s="4" t="inlineStr">
        <is>
          <t>receipt_16.jpg</t>
        </is>
      </c>
    </row>
    <row r="18">
      <c r="A18" s="2" t="n">
        <v>17</v>
      </c>
      <c r="B18" s="3" t="n">
        <v>46082</v>
      </c>
      <c r="C18" s="4" t="inlineStr">
        <is>
          <t>大日本印刷株式会社</t>
        </is>
      </c>
      <c r="D18" s="5" t="n">
        <v>245000</v>
      </c>
      <c r="E18" s="2" t="inlineStr">
        <is>
          <t>印刷製本費</t>
        </is>
      </c>
      <c r="F18" s="4" t="inlineStr">
        <is>
          <t>印刷費用として</t>
        </is>
      </c>
      <c r="G18" s="4" t="inlineStr">
        <is>
          <t>receipt_17.jpg</t>
        </is>
      </c>
    </row>
    <row r="19">
      <c r="A19" s="2" t="n">
        <v>18</v>
      </c>
      <c r="B19" s="3" t="n">
        <v>45889</v>
      </c>
      <c r="C19" s="4" t="inlineStr">
        <is>
          <t>JR東日本 新幹線窓口</t>
        </is>
      </c>
      <c r="D19" s="5" t="n">
        <v>6500</v>
      </c>
      <c r="E19" s="2" t="inlineStr">
        <is>
          <t>旅費交通費</t>
        </is>
      </c>
      <c r="F19" s="4" t="inlineStr">
        <is>
          <t>交通費として</t>
        </is>
      </c>
      <c r="G19" s="4" t="inlineStr">
        <is>
          <t>receipt_18.jpg</t>
        </is>
      </c>
    </row>
    <row r="20">
      <c r="A20" s="2" t="n">
        <v>19</v>
      </c>
      <c r="B20" s="3" t="n">
        <v>46016</v>
      </c>
      <c r="C20" s="4" t="inlineStr">
        <is>
          <t>花屋さくら 奈良本店</t>
        </is>
      </c>
      <c r="D20" s="5" t="n">
        <v>4200</v>
      </c>
      <c r="E20" s="2" t="inlineStr">
        <is>
          <t>接待交際費</t>
        </is>
      </c>
      <c r="F20" s="4" t="inlineStr">
        <is>
          <t>お花代として</t>
        </is>
      </c>
      <c r="G20" s="4" t="inlineStr">
        <is>
          <t>receipt_19.jpg</t>
        </is>
      </c>
    </row>
    <row r="21">
      <c r="A21" s="2" t="n">
        <v>20</v>
      </c>
      <c r="B21" s="3" t="n">
        <v>46050</v>
      </c>
      <c r="C21" s="4" t="inlineStr">
        <is>
          <t>株式会社デジタルソリューションズ</t>
        </is>
      </c>
      <c r="D21" s="5" t="n">
        <v>32400</v>
      </c>
      <c r="E21" s="2" t="inlineStr">
        <is>
          <t>通信費</t>
        </is>
      </c>
      <c r="F21" s="4" t="inlineStr">
        <is>
          <t>ソフトウェアライセンス費用として</t>
        </is>
      </c>
      <c r="G21" s="4" t="inlineStr">
        <is>
          <t>receipt_20.jpg</t>
        </is>
      </c>
    </row>
    <row r="22">
      <c r="C22" s="6" t="inlineStr">
        <is>
          <t>合計</t>
        </is>
      </c>
      <c r="D22" s="7">
        <f>SUM(D2:D21)</f>
        <v/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</cols>
  <sheetData>
    <row r="1">
      <c r="A1" s="8" t="inlineStr">
        <is>
          <t>カテゴリ</t>
        </is>
      </c>
      <c r="B1" s="8" t="inlineStr">
        <is>
          <t>件数</t>
        </is>
      </c>
      <c r="C1" s="8" t="inlineStr">
        <is>
          <t>金額合計</t>
        </is>
      </c>
    </row>
    <row r="2">
      <c r="A2" s="4" t="inlineStr">
        <is>
          <t>印刷製本費</t>
        </is>
      </c>
      <c r="B2" s="2" t="n">
        <v>1</v>
      </c>
      <c r="C2" s="5" t="n">
        <v>245000</v>
      </c>
    </row>
    <row r="3">
      <c r="A3" s="4" t="inlineStr">
        <is>
          <t>修繕費</t>
        </is>
      </c>
      <c r="B3" s="2" t="n">
        <v>2</v>
      </c>
      <c r="C3" s="5" t="n">
        <v>201000</v>
      </c>
    </row>
    <row r="4">
      <c r="A4" s="4" t="inlineStr">
        <is>
          <t>支払手数料</t>
        </is>
      </c>
      <c r="B4" s="2" t="n">
        <v>1</v>
      </c>
      <c r="C4" s="5" t="n">
        <v>78000</v>
      </c>
    </row>
    <row r="5">
      <c r="A5" s="4" t="inlineStr">
        <is>
          <t>接待交際費</t>
        </is>
      </c>
      <c r="B5" s="2" t="n">
        <v>3</v>
      </c>
      <c r="C5" s="5" t="n">
        <v>44500</v>
      </c>
    </row>
    <row r="6">
      <c r="A6" s="4" t="inlineStr">
        <is>
          <t>通信費</t>
        </is>
      </c>
      <c r="B6" s="2" t="n">
        <v>1</v>
      </c>
      <c r="C6" s="5" t="n">
        <v>32400</v>
      </c>
    </row>
    <row r="7">
      <c r="A7" s="4" t="inlineStr">
        <is>
          <t>旅費交通費</t>
        </is>
      </c>
      <c r="B7" s="2" t="n">
        <v>4</v>
      </c>
      <c r="C7" s="5" t="n">
        <v>31390</v>
      </c>
    </row>
    <row r="8">
      <c r="A8" s="4" t="inlineStr">
        <is>
          <t>消耗品費</t>
        </is>
      </c>
      <c r="B8" s="2" t="n">
        <v>1</v>
      </c>
      <c r="C8" s="5" t="n">
        <v>15400</v>
      </c>
    </row>
    <row r="9">
      <c r="A9" s="4" t="inlineStr">
        <is>
          <t>研修費</t>
        </is>
      </c>
      <c r="B9" s="2" t="n">
        <v>1</v>
      </c>
      <c r="C9" s="5" t="n">
        <v>9800</v>
      </c>
    </row>
    <row r="10">
      <c r="A10" s="4" t="inlineStr">
        <is>
          <t>会議費</t>
        </is>
      </c>
      <c r="B10" s="2" t="n">
        <v>2</v>
      </c>
      <c r="C10" s="5" t="n">
        <v>4410</v>
      </c>
    </row>
    <row r="11">
      <c r="A11" s="4" t="inlineStr">
        <is>
          <t>新聞図書費</t>
        </is>
      </c>
      <c r="B11" s="2" t="n">
        <v>1</v>
      </c>
      <c r="C11" s="5" t="n">
        <v>1580</v>
      </c>
    </row>
    <row r="12">
      <c r="A12" s="4" t="inlineStr">
        <is>
          <t>事務用品費</t>
        </is>
      </c>
      <c r="B12" s="2" t="n">
        <v>2</v>
      </c>
      <c r="C12" s="5" t="n">
        <v>1530</v>
      </c>
    </row>
    <row r="13">
      <c r="A13" s="4" t="inlineStr">
        <is>
          <t>荷造運賃</t>
        </is>
      </c>
      <c r="B13" s="2" t="n">
        <v>1</v>
      </c>
      <c r="C13" s="5" t="n">
        <v>1200</v>
      </c>
    </row>
    <row r="14">
      <c r="A14" s="9" t="inlineStr">
        <is>
          <t>合計</t>
        </is>
      </c>
      <c r="B14" s="10">
        <f>SUM(B2:B13)</f>
        <v/>
      </c>
      <c r="C14" s="11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2026-05-17T10:18:34Z</dcterms:created>
  <dcterms:modified xmlns:dcterms="http://purl.org/dc/terms/" xmlns:xsi="http://www.w3.org/2001/XMLSchema-instance" xsi:type="dcterms:W3CDTF">2026-05-17T10:18:34Z</dcterms:modified>
</cp:coreProperties>
</file>